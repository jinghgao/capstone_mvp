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boyuansun/Desktop/25Fall/CS7980/Project/capstone_mvp/experiment/RAG+SQL(LLM)/pipeline_evaluation_results_llama3:"/>
    </mc:Choice>
  </mc:AlternateContent>
  <xr:revisionPtr revIDLastSave="0" documentId="13_ncr:1_{67DB85FD-F177-6B4A-8F0E-77A42C34F79E}" xr6:coauthVersionLast="47" xr6:coauthVersionMax="47" xr10:uidLastSave="{00000000-0000-0000-0000-000000000000}"/>
  <bookViews>
    <workbookView xWindow="4420" yWindow="680" windowWidth="25820" windowHeight="17720" xr2:uid="{00000000-000D-0000-FFFF-FFFF00000000}"/>
  </bookViews>
  <sheets>
    <sheet name="DirectCall" sheetId="1" r:id="rId1"/>
    <sheet name="Endto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2" i="2"/>
</calcChain>
</file>

<file path=xl/sharedStrings.xml><?xml version="1.0" encoding="utf-8"?>
<sst xmlns="http://schemas.openxmlformats.org/spreadsheetml/2006/main" count="128" uniqueCount="49">
  <si>
    <t>query</t>
  </si>
  <si>
    <t>retrieved_field_data</t>
  </si>
  <si>
    <t>answer_ground_truth</t>
  </si>
  <si>
    <t>output</t>
  </si>
  <si>
    <t>retrieval_ground_truth</t>
  </si>
  <si>
    <t>retrieved_text</t>
  </si>
  <si>
    <t>score</t>
  </si>
  <si>
    <t>checks</t>
  </si>
  <si>
    <t>score/checks</t>
  </si>
  <si>
    <t>Compare Beaconsfield Diamond SW dimensions to Softball Men U11 standards.</t>
  </si>
  <si>
    <t>{'Name of Field': 'Beaconsfield Diamond SW', 'Diamonds: Dimension Home to Pitchers Plate - m': 13.0, 'Diamonds: Home to First Base Path - m': 18.0}</t>
  </si>
  <si>
    <t>{'Home to Pitchers Plate': False, 'Home to First Base Path': False, 'Pitchers Plate Difference': 2.0299999999999994, 'First Base Path Difference': 3.9800000000000004}</t>
  </si>
  <si>
    <t>{'Home to Pitchers Plate': False, 'Home to First Base Path': False, 'Pitchers Plate Difference': -0.02, 'First Base Path Difference': -0.08}</t>
  </si>
  <si>
    <t>{'sport': 'Softball Men U11', 'Dimension Home to Pitchers Plate - should greater than': 10.37, 'Dimension Home to Pitchers Plate - should less than': 10.97, 'Home to First Base Path - should greater than': 13.5, 'Home to First Base Path - should less than': 14.02}</t>
  </si>
  <si>
    <t>["---\n\n# Field Compatibility Quick Reference\n\n## Soccer Field Multi-Age Use\n- A 90m x 45m field can accommodate:\n  - Full-size 11v11 games\n  - Multiple U10-U11 games simultaneously (with temporary markings)\n  - U12-U13 9v9 games\n\n## Baseball/Softball Diamond Multi-Use\n- A field with 18.3m base paths and adjustable pitching rubber can serve:\n  - Softball Male U15-Masters (by adjusting pitcher's plate)\n  - Softball Female multiple divisions\n  - Baseball U10-U11\n  - Slow-pitch leagues\n\n## Critical Measurements for Compliance\n- **Soccer**: Minimum length and width are critical; slight variations acceptable\n- **Baseball/Softball**: Pitching distance and base paths must be precise within 0.3m\n- **Football/Rugby**: Field markings and dimensions must meet league standards exactly\n- **Multi-sport**: Cricket ovals can sometimes accommodate other sports during off-season\n\n---", '---\n\n# Diamond Field Sports (Baseball &amp; Softball)\n\n## Softball - Male Categories\n\n### Softball Male Masters (U23, U20, U17)\n- Pitching Distance: 14.02 meters\n- Base Distance: 18.288 meters\n- Outfield Fence Range: 68.58-80.77 meters\n- Home to Pitch Range: 13.72-14.32 meters\n- Home to First Base Range: 17.988-18.588 meters\n- Age Groups: Under 23, Under 20, Under 17\n- Gender: Male\n- Field Type: Diamond\n\n### Softball Men U15\n- Pitching Distance: 12.8 meters\n- Base Distance: 18.288 meters\n- Outfield Fence Range: 64-76.2 meters\n- Home to Pitch Range: 12.5-13.1 meters\n- Home to First Base Range: 17.988-18.588 meters\n- Age Group: Under 15 years\n- Gender: Male', '### Softball Men U13\n- Pitching Distance: 11.58 meters\n- Base Distance: 16.764 meters\n- Outfield Fence Range: 51.82-68.58 meters\n- Home to Pitch Range: 11.2-11.8 meters\n- Home to First Base Range: 16.5-17.04 meters\n- Age Group: Under 13 years\n- Gender: Male\n\n### Softball Men U11\n- Pitching Distance: 10.67 meters\n- Base Distance: 13.72 meters\n- Outfield Fence Range: 48.77-68.58 meters\n- Home to Pitch Range: 10.37-10.97 meters\n- Home to First Base Range: 13.5-14.02 meters\n- Age Group: Under 11 years\n- Gender: Male\n\n### Softball Men U9, U7\n- Pitching Distance: 9.144 meters\n- Base Distance: 13.72 meters\n- Outfield Fence Range: 48.77-68.58 meters\n- Home to Pitch Range: 8.844-9.44 meters\n- Home to First Base Range: 13.5-14.02 meters\n- Age Groups: Under 9, Under 7 years\n- Gender: Male\n\n---\n\n## Softball - Female Categories']</t>
  </si>
  <si>
    <t>Compare Beaconsfield Diamond SW dimensions to Softball Men U9, U7 standards.</t>
  </si>
  <si>
    <t>{'Home to Pitchers Plate': False, 'Home to First Base Path': False, 'Pitchers Plate Difference': 3.5600000000000005, 'First Base Path Difference': 3.9800000000000004}</t>
  </si>
  <si>
    <t>{'Home to Pitchers Plate': False, 'Home to First Base Path': False, 'Pitchers Plate Difference': -0.144, 'First Base Path Difference': -1.72}</t>
  </si>
  <si>
    <t>{'sport': 'Softball Men U9, U7', 'Dimension Home to Pitchers Plate - should greater than': 8.844, 'Dimension Home to Pitchers Plate - should less than': 9.44, 'Home to First Base Path - should greater than': 13.5, 'Home to First Base Path - should less than': 14.02}</t>
  </si>
  <si>
    <t>['---\n\n# Diamond Field Sports (Baseball &amp; Softball)\n\n## Softball - Male Categories\n\n### Softball Male Masters (U23, U20, U17)\n- Pitching Distance: 14.02 meters\n- Base Distance: 18.288 meters\n- Outfield Fence Range: 68.58-80.77 meters\n- Home to Pitch Range: 13.72-14.32 meters\n- Home to First Base Range: 17.988-18.588 meters\n- Age Groups: Under 23, Under 20, Under 17\n- Gender: Male\n- Field Type: Diamond\n\n### Softball Men U15\n- Pitching Distance: 12.8 meters\n- Base Distance: 18.288 meters\n- Outfield Fence Range: 64-76.2 meters\n- Home to Pitch Range: 12.5-13.1 meters\n- Home to First Base Range: 17.988-18.588 meters\n- Age Group: Under 15 years\n- Gender: Male', "---\n\n# Field Compatibility Quick Reference\n\n## Soccer Field Multi-Age Use\n- A 90m x 45m field can accommodate:\n  - Full-size 11v11 games\n  - Multiple U10-U11 games simultaneously (with temporary markings)\n  - U12-U13 9v9 games\n\n## Baseball/Softball Diamond Multi-Use\n- A field with 18.3m base paths and adjustable pitching rubber can serve:\n  - Softball Male U15-Masters (by adjusting pitcher's plate)\n  - Softball Female multiple divisions\n  - Baseball U10-U11\n  - Slow-pitch leagues\n\n## Critical Measurements for Compliance\n- **Soccer**: Minimum length and width are critical; slight variations acceptable\n- **Baseball/Softball**: Pitching distance and base paths must be precise within 0.3m\n- **Football/Rugby**: Field markings and dimensions must meet league standards exactly\n- **Multi-sport**: Cricket ovals can sometimes accommodate other sports during off-season\n\n---", '### Softball Men U13\n- Pitching Distance: 11.58 meters\n- Base Distance: 16.764 meters\n- Outfield Fence Range: 51.82-68.58 meters\n- Home to Pitch Range: 11.2-11.8 meters\n- Home to First Base Range: 16.5-17.04 meters\n- Age Group: Under 13 years\n- Gender: Male\n\n### Softball Men U11\n- Pitching Distance: 10.67 meters\n- Base Distance: 13.72 meters\n- Outfield Fence Range: 48.77-68.58 meters\n- Home to Pitch Range: 10.37-10.97 meters\n- Home to First Base Range: 13.5-14.02 meters\n- Age Group: Under 11 years\n- Gender: Male\n\n### Softball Men U9, U7\n- Pitching Distance: 9.144 meters\n- Base Distance: 13.72 meters\n- Outfield Fence Range: 48.77-68.58 meters\n- Home to Pitch Range: 8.844-9.44 meters\n- Home to First Base Range: 13.5-14.02 meters\n- Age Groups: Under 9, Under 7 years\n- Gender: Male\n\n---\n\n## Softball - Female Categories']</t>
  </si>
  <si>
    <t>Compare Bobolink Diamond EC dimensions to Softball Men U15 standards.</t>
  </si>
  <si>
    <t>{'Name of Field': 'Bobolink Diamond EC', 'Diamonds: Dimension Home to Pitchers Plate - m': 11.8, 'Diamonds: Home to First Base Path - m': 17.4}</t>
  </si>
  <si>
    <t>{'Home to Pitchers Plate': False, 'Home to First Base Path': False, 'Pitchers Plate Difference': -0.6999999999999993, 'First Base Path Difference': -0.588000000000001}</t>
  </si>
  <si>
    <t>{'Home to Pitchers Plate': False, 'Home to First Base Path': False, 'Pitchers Plate Difference': -0.2, 'First Base Path Difference': -0.6}</t>
  </si>
  <si>
    <t>{'sport': 'Softball Men U15', 'Dimension Home to Pitchers Plate - should greater than': 12.5, 'Dimension Home to Pitchers Plate - should less than': 13.1, 'Home to First Base Path - should greater than': 17.988, 'Home to First Base Path - should less than': 18.588}</t>
  </si>
  <si>
    <t>Compare Bobolink Diamond EC dimensions to Softball Men U13 standards.</t>
  </si>
  <si>
    <t>{'Home to Pitchers Plate': True, 'Home to First Base Path': False, 'First Base Path Difference': 0.35999999999999943}</t>
  </si>
  <si>
    <t>{'sport': 'Softball Men U13', 'Dimension Home to Pitchers Plate - should greater than': 11.2, 'Dimension Home to Pitchers Plate - should less than': 11.8, 'Home to First Base Path - should greater than': 16.5, 'Home to First Base Path - should less than': 17.04}</t>
  </si>
  <si>
    <t>Compare Bobolink Diamond EC dimensions to Softball Men U11 standards.</t>
  </si>
  <si>
    <t>{'Home to Pitchers Plate': False, 'Home to First Base Path': False, 'Pitchers Plate Difference': 0.8300000000000001, 'First Base Path Difference': 3.379999999999999}</t>
  </si>
  <si>
    <t>{'Home to Pitchers Plate': False, 'Home to First Base Path': False, 'Pitchers Plate Difference': -0.44, 'First Base Path Difference': -1.6}</t>
  </si>
  <si>
    <t>Compare Bobolink Diamond EC dimensions to Softball Men U9, U7 standards.</t>
  </si>
  <si>
    <t>{'Home to Pitchers Plate': False, 'Home to First Base Path': False, 'Pitchers Plate Difference': 2.360000000000001, 'First Base Path Difference': 3.379999999999999}</t>
  </si>
  <si>
    <t>{'Home to Pitchers Plate': False, 'Home to First Base Path': False, 'Pitchers Plate Difference': -0.64, 'First Base Path Difference': -1.6}</t>
  </si>
  <si>
    <t>Compare Bobolink Diamond NE dimensions to Softball Men U15 standards.</t>
  </si>
  <si>
    <t>{'Name of Field': 'Bobolink Diamond NE', 'Diamonds: Dimension Home to Pitchers Plate - m': 15.5, 'Diamonds: Home to First Base Path - m': 18.5}</t>
  </si>
  <si>
    <t>{'Home to Pitchers Plate': False, 'Home to First Base Path': True, 'Pitchers Plate Difference': 2.4000000000000004}</t>
  </si>
  <si>
    <t>{'Home to Pitchers Plate': False, 'Home to First Base Path': False, 'Pitchers Plate Difference': -0.5, 'First Base Path Difference': -1}</t>
  </si>
  <si>
    <t>Compare Bobolink Diamond NE dimensions to Softball Men U13 standards.</t>
  </si>
  <si>
    <t>{'Home to Pitchers Plate': False, 'Home to First Base Path': False, 'Pitchers Plate Difference': 3.6999999999999993, 'First Base Path Difference': 1.4600000000000009}</t>
  </si>
  <si>
    <t>{'Home to Pitchers Plate': False, 'Home to First Base Path': False, 'Pitchers Plate Difference': -0.5, 'First Base Path Difference': -1.0}</t>
  </si>
  <si>
    <t>Compare Bobolink Diamond NE dimensions to Softball Men U11 standards.</t>
  </si>
  <si>
    <t>{'Home to Pitchers Plate': False, 'Home to First Base Path': False, 'Pitchers Plate Difference': 4.529999999999999, 'First Base Path Difference': 4.48}</t>
  </si>
  <si>
    <t>Compare Bobolink Diamond NE dimensions to Softball Men U9, U7 standards.</t>
  </si>
  <si>
    <t>{'Home to Pitchers Plate': False, 'Home to First Base Path': False, 'Pitchers Plate Difference': 6.0600000000000005, 'First Base Path Difference': 4.48}</t>
  </si>
  <si>
    <t>Latency</t>
  </si>
  <si>
    <t>{'Home to Pitchers Plate': False, 'Home to First Base Path': False, 'Pitchers Plate Difference': -0.0, 'First Base Path Difference': -2.0}</t>
  </si>
  <si>
    <t>{'Home to Pitchers Plate': False, 'Home to First Base Path': False, 'Pitchers Plate Difference': -1e-15, 'First Base Path Difference': -1.0}</t>
  </si>
  <si>
    <t>Not Supported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</si>
</sst>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G17" sqref="G17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</v>
      </c>
      <c r="H2">
        <v>4</v>
      </c>
      <c r="I2">
        <v>0.5</v>
      </c>
    </row>
    <row r="3" spans="1:9" x14ac:dyDescent="0.2">
      <c r="A3" t="s">
        <v>15</v>
      </c>
      <c r="B3" t="s">
        <v>10</v>
      </c>
      <c r="C3" t="s">
        <v>16</v>
      </c>
      <c r="D3" t="s">
        <v>17</v>
      </c>
      <c r="E3" t="s">
        <v>18</v>
      </c>
      <c r="F3" t="s">
        <v>19</v>
      </c>
      <c r="G3">
        <v>2</v>
      </c>
      <c r="H3">
        <v>4</v>
      </c>
      <c r="I3">
        <v>0.5</v>
      </c>
    </row>
    <row r="4" spans="1:9" x14ac:dyDescent="0.2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14</v>
      </c>
      <c r="G4">
        <v>4</v>
      </c>
      <c r="H4">
        <v>4</v>
      </c>
      <c r="I4">
        <v>1</v>
      </c>
    </row>
    <row r="5" spans="1:9" x14ac:dyDescent="0.2">
      <c r="A5" t="s">
        <v>25</v>
      </c>
      <c r="B5" t="s">
        <v>21</v>
      </c>
      <c r="C5" t="s">
        <v>26</v>
      </c>
      <c r="D5" t="s">
        <v>23</v>
      </c>
      <c r="E5" t="s">
        <v>27</v>
      </c>
      <c r="F5" t="s">
        <v>14</v>
      </c>
      <c r="G5">
        <v>2</v>
      </c>
      <c r="H5">
        <v>3</v>
      </c>
      <c r="I5">
        <v>0.66666666666666663</v>
      </c>
    </row>
    <row r="6" spans="1:9" x14ac:dyDescent="0.2">
      <c r="A6" t="s">
        <v>28</v>
      </c>
      <c r="B6" t="s">
        <v>21</v>
      </c>
      <c r="C6" t="s">
        <v>29</v>
      </c>
      <c r="D6" t="s">
        <v>30</v>
      </c>
      <c r="E6" t="s">
        <v>13</v>
      </c>
      <c r="F6" t="s">
        <v>14</v>
      </c>
      <c r="G6">
        <v>2</v>
      </c>
      <c r="H6">
        <v>4</v>
      </c>
      <c r="I6">
        <v>0.5</v>
      </c>
    </row>
    <row r="7" spans="1:9" x14ac:dyDescent="0.2">
      <c r="A7" t="s">
        <v>31</v>
      </c>
      <c r="B7" t="s">
        <v>21</v>
      </c>
      <c r="C7" t="s">
        <v>32</v>
      </c>
      <c r="D7" t="s">
        <v>33</v>
      </c>
      <c r="E7" t="s">
        <v>18</v>
      </c>
      <c r="F7" t="s">
        <v>14</v>
      </c>
      <c r="G7">
        <v>2</v>
      </c>
      <c r="H7">
        <v>4</v>
      </c>
      <c r="I7">
        <v>0.5</v>
      </c>
    </row>
    <row r="8" spans="1:9" x14ac:dyDescent="0.2">
      <c r="A8" t="s">
        <v>34</v>
      </c>
      <c r="B8" t="s">
        <v>35</v>
      </c>
      <c r="C8" t="s">
        <v>36</v>
      </c>
      <c r="D8" t="s">
        <v>37</v>
      </c>
      <c r="E8" t="s">
        <v>24</v>
      </c>
      <c r="F8" t="s">
        <v>19</v>
      </c>
      <c r="G8">
        <v>1</v>
      </c>
      <c r="H8">
        <v>3</v>
      </c>
      <c r="I8">
        <v>0.33333333333333331</v>
      </c>
    </row>
    <row r="9" spans="1:9" x14ac:dyDescent="0.2">
      <c r="A9" t="s">
        <v>38</v>
      </c>
      <c r="B9" t="s">
        <v>35</v>
      </c>
      <c r="C9" t="s">
        <v>39</v>
      </c>
      <c r="D9" t="s">
        <v>40</v>
      </c>
      <c r="E9" t="s">
        <v>27</v>
      </c>
      <c r="F9" t="s">
        <v>19</v>
      </c>
      <c r="G9">
        <v>2</v>
      </c>
      <c r="H9">
        <v>4</v>
      </c>
      <c r="I9">
        <v>0.5</v>
      </c>
    </row>
    <row r="10" spans="1:9" x14ac:dyDescent="0.2">
      <c r="A10" t="s">
        <v>41</v>
      </c>
      <c r="B10" t="s">
        <v>35</v>
      </c>
      <c r="C10" t="s">
        <v>42</v>
      </c>
      <c r="D10" t="s">
        <v>40</v>
      </c>
      <c r="E10" t="s">
        <v>13</v>
      </c>
      <c r="F10" t="s">
        <v>14</v>
      </c>
      <c r="G10">
        <v>2</v>
      </c>
      <c r="H10">
        <v>4</v>
      </c>
      <c r="I10">
        <v>0.5</v>
      </c>
    </row>
    <row r="11" spans="1:9" x14ac:dyDescent="0.2">
      <c r="A11" t="s">
        <v>43</v>
      </c>
      <c r="B11" t="s">
        <v>35</v>
      </c>
      <c r="C11" t="s">
        <v>44</v>
      </c>
      <c r="D11" t="s">
        <v>40</v>
      </c>
      <c r="E11" t="s">
        <v>18</v>
      </c>
      <c r="F11" t="s">
        <v>14</v>
      </c>
      <c r="G11">
        <v>2</v>
      </c>
      <c r="H11">
        <v>4</v>
      </c>
      <c r="I11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14A4-BE9D-8647-994C-40D79FE18AEE}">
  <dimension ref="A1:I11"/>
  <sheetViews>
    <sheetView topLeftCell="C1" workbookViewId="0">
      <selection activeCell="H12" sqref="H12"/>
    </sheetView>
  </sheetViews>
  <sheetFormatPr baseColWidth="10" defaultRowHeight="15" x14ac:dyDescent="0.2"/>
  <cols>
    <col min="3" max="3" width="63.5" customWidth="1"/>
    <col min="4" max="4" width="96.3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2" t="s">
        <v>45</v>
      </c>
    </row>
    <row r="2" spans="1:9" x14ac:dyDescent="0.2">
      <c r="A2" t="s">
        <v>9</v>
      </c>
      <c r="B2" t="s">
        <v>10</v>
      </c>
      <c r="C2" t="s">
        <v>11</v>
      </c>
      <c r="D2" t="s">
        <v>46</v>
      </c>
      <c r="E2" t="s">
        <v>13</v>
      </c>
      <c r="F2">
        <v>2</v>
      </c>
      <c r="G2">
        <v>4</v>
      </c>
      <c r="H2">
        <f>F2/G2</f>
        <v>0.5</v>
      </c>
      <c r="I2">
        <v>11722</v>
      </c>
    </row>
    <row r="3" spans="1:9" x14ac:dyDescent="0.2">
      <c r="A3" t="s">
        <v>15</v>
      </c>
      <c r="B3" t="s">
        <v>10</v>
      </c>
      <c r="C3" t="s">
        <v>16</v>
      </c>
      <c r="D3" t="s">
        <v>47</v>
      </c>
      <c r="E3" t="s">
        <v>18</v>
      </c>
      <c r="F3">
        <v>2</v>
      </c>
      <c r="G3">
        <v>4</v>
      </c>
      <c r="H3">
        <f t="shared" ref="H3:H11" si="0">F3/G3</f>
        <v>0.5</v>
      </c>
      <c r="I3">
        <v>5664</v>
      </c>
    </row>
    <row r="4" spans="1:9" x14ac:dyDescent="0.2">
      <c r="A4" t="s">
        <v>20</v>
      </c>
      <c r="B4" t="s">
        <v>21</v>
      </c>
      <c r="C4" t="s">
        <v>22</v>
      </c>
      <c r="D4" t="s">
        <v>48</v>
      </c>
      <c r="E4" t="s">
        <v>24</v>
      </c>
      <c r="F4">
        <v>0</v>
      </c>
      <c r="G4">
        <v>4</v>
      </c>
      <c r="H4">
        <f t="shared" si="0"/>
        <v>0</v>
      </c>
      <c r="I4">
        <v>60</v>
      </c>
    </row>
    <row r="5" spans="1:9" x14ac:dyDescent="0.2">
      <c r="A5" t="s">
        <v>25</v>
      </c>
      <c r="B5" t="s">
        <v>21</v>
      </c>
      <c r="C5" t="s">
        <v>26</v>
      </c>
      <c r="D5" t="s">
        <v>48</v>
      </c>
      <c r="E5" t="s">
        <v>27</v>
      </c>
      <c r="F5">
        <v>0</v>
      </c>
      <c r="G5">
        <v>3</v>
      </c>
      <c r="H5">
        <f t="shared" si="0"/>
        <v>0</v>
      </c>
      <c r="I5">
        <v>50</v>
      </c>
    </row>
    <row r="6" spans="1:9" x14ac:dyDescent="0.2">
      <c r="A6" t="s">
        <v>28</v>
      </c>
      <c r="B6" t="s">
        <v>21</v>
      </c>
      <c r="C6" t="s">
        <v>29</v>
      </c>
      <c r="D6" t="s">
        <v>48</v>
      </c>
      <c r="E6" t="s">
        <v>13</v>
      </c>
      <c r="F6">
        <v>0</v>
      </c>
      <c r="G6">
        <v>4</v>
      </c>
      <c r="H6">
        <f t="shared" si="0"/>
        <v>0</v>
      </c>
      <c r="I6">
        <v>60</v>
      </c>
    </row>
    <row r="7" spans="1:9" x14ac:dyDescent="0.2">
      <c r="A7" t="s">
        <v>31</v>
      </c>
      <c r="B7" t="s">
        <v>21</v>
      </c>
      <c r="C7" t="s">
        <v>32</v>
      </c>
      <c r="D7" t="s">
        <v>48</v>
      </c>
      <c r="E7" t="s">
        <v>18</v>
      </c>
      <c r="F7">
        <v>0</v>
      </c>
      <c r="G7">
        <v>4</v>
      </c>
      <c r="H7">
        <f t="shared" si="0"/>
        <v>0</v>
      </c>
      <c r="I7">
        <v>50</v>
      </c>
    </row>
    <row r="8" spans="1:9" x14ac:dyDescent="0.2">
      <c r="A8" t="s">
        <v>34</v>
      </c>
      <c r="B8" t="s">
        <v>35</v>
      </c>
      <c r="C8" t="s">
        <v>36</v>
      </c>
      <c r="D8" t="s">
        <v>48</v>
      </c>
      <c r="E8" t="s">
        <v>24</v>
      </c>
      <c r="F8">
        <v>0</v>
      </c>
      <c r="G8">
        <v>3</v>
      </c>
      <c r="H8">
        <f t="shared" si="0"/>
        <v>0</v>
      </c>
      <c r="I8">
        <v>64</v>
      </c>
    </row>
    <row r="9" spans="1:9" x14ac:dyDescent="0.2">
      <c r="A9" t="s">
        <v>38</v>
      </c>
      <c r="B9" t="s">
        <v>35</v>
      </c>
      <c r="C9" t="s">
        <v>39</v>
      </c>
      <c r="D9" t="s">
        <v>48</v>
      </c>
      <c r="E9" t="s">
        <v>27</v>
      </c>
      <c r="F9">
        <v>0</v>
      </c>
      <c r="G9">
        <v>4</v>
      </c>
      <c r="H9">
        <f t="shared" si="0"/>
        <v>0</v>
      </c>
      <c r="I9">
        <v>55</v>
      </c>
    </row>
    <row r="10" spans="1:9" x14ac:dyDescent="0.2">
      <c r="A10" t="s">
        <v>41</v>
      </c>
      <c r="B10" t="s">
        <v>35</v>
      </c>
      <c r="C10" t="s">
        <v>42</v>
      </c>
      <c r="D10" t="s">
        <v>48</v>
      </c>
      <c r="E10" t="s">
        <v>13</v>
      </c>
      <c r="F10">
        <v>0</v>
      </c>
      <c r="G10">
        <v>4</v>
      </c>
      <c r="H10">
        <f t="shared" si="0"/>
        <v>0</v>
      </c>
      <c r="I10">
        <v>58</v>
      </c>
    </row>
    <row r="11" spans="1:9" x14ac:dyDescent="0.2">
      <c r="A11" t="s">
        <v>43</v>
      </c>
      <c r="B11" t="s">
        <v>35</v>
      </c>
      <c r="C11" t="s">
        <v>44</v>
      </c>
      <c r="D11" t="s">
        <v>48</v>
      </c>
      <c r="E11" t="s">
        <v>18</v>
      </c>
      <c r="F11">
        <v>0</v>
      </c>
      <c r="G11">
        <v>4</v>
      </c>
      <c r="H11">
        <f t="shared" si="0"/>
        <v>0</v>
      </c>
      <c r="I11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DirectCall</vt:lpstr>
      <vt:lpstr>EndtoEnd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Boyuan Sun</cp:lastModifiedBy>
  <dcterms:created xsi:type="dcterms:W3CDTF">2025-11-25T05:51:04Z</dcterms:created>
  <dcterms:modified xsi:type="dcterms:W3CDTF">2025-11-25T20:48:59Z</dcterms:modified>
</cp:coreProperties>
</file>